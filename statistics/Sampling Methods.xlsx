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ctcs-my.sharepoint.com/personal/christopher_sears_kctcs_edu/Documents/"/>
    </mc:Choice>
  </mc:AlternateContent>
  <xr:revisionPtr revIDLastSave="115" documentId="8_{9B3C1549-304B-4883-8AF7-F08C36CA4203}" xr6:coauthVersionLast="47" xr6:coauthVersionMax="47" xr10:uidLastSave="{8D8DD8C0-C992-4E5B-873F-53ED392DA453}"/>
  <bookViews>
    <workbookView xWindow="-120" yWindow="-120" windowWidth="29040" windowHeight="16440" activeTab="4" xr2:uid="{F22461AA-9E37-491F-942E-2137EC264350}"/>
  </bookViews>
  <sheets>
    <sheet name="Grid" sheetId="1" r:id="rId1"/>
    <sheet name="Simple Random" sheetId="2" r:id="rId2"/>
    <sheet name="Stratified" sheetId="3" r:id="rId3"/>
    <sheet name="Cluster" sheetId="4" r:id="rId4"/>
    <sheet name="Systemati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5" l="1"/>
  <c r="G4" i="5"/>
  <c r="B12" i="4"/>
  <c r="B13" i="4" s="1"/>
  <c r="D13" i="4" s="1" a="1"/>
  <c r="D13" i="4" s="1"/>
  <c r="B4" i="4"/>
  <c r="B5" i="4" s="1"/>
  <c r="D5" i="4" s="1" a="1"/>
  <c r="D5" i="4" s="1"/>
  <c r="C19" i="3"/>
  <c r="D19" i="3" s="1" a="1"/>
  <c r="D19" i="3" s="1"/>
  <c r="C18" i="3"/>
  <c r="D18" i="3" s="1" a="1"/>
  <c r="D18" i="3" s="1"/>
  <c r="C17" i="3"/>
  <c r="D17" i="3" s="1" a="1"/>
  <c r="D17" i="3" s="1"/>
  <c r="C16" i="3"/>
  <c r="D16" i="3" s="1" a="1"/>
  <c r="D16" i="3" s="1"/>
  <c r="C15" i="3"/>
  <c r="D15" i="3" s="1" a="1"/>
  <c r="D15" i="3" s="1"/>
  <c r="C14" i="3"/>
  <c r="D14" i="3" s="1" a="1"/>
  <c r="D14" i="3" s="1"/>
  <c r="C13" i="3"/>
  <c r="D13" i="3" s="1" a="1"/>
  <c r="D13" i="3" s="1"/>
  <c r="C12" i="3"/>
  <c r="D12" i="3" s="1" a="1"/>
  <c r="D12" i="3" s="1"/>
  <c r="C11" i="3"/>
  <c r="D11" i="3" s="1" a="1"/>
  <c r="D11" i="3" s="1"/>
  <c r="C10" i="3"/>
  <c r="D10" i="3" s="1" a="1"/>
  <c r="D10" i="3" s="1"/>
  <c r="C9" i="3"/>
  <c r="D9" i="3" s="1" a="1"/>
  <c r="D9" i="3" s="1"/>
  <c r="C8" i="3"/>
  <c r="D8" i="3" s="1" a="1"/>
  <c r="D8" i="3" s="1"/>
  <c r="C7" i="3"/>
  <c r="D7" i="3" s="1" a="1"/>
  <c r="D7" i="3" s="1"/>
  <c r="C6" i="3"/>
  <c r="D6" i="3" s="1" a="1"/>
  <c r="D6" i="3" s="1"/>
  <c r="C5" i="3"/>
  <c r="D5" i="3" s="1" a="1"/>
  <c r="D5" i="3" s="1"/>
  <c r="C4" i="3"/>
  <c r="D4" i="3" s="1" a="1"/>
  <c r="D4" i="3" s="1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5" i="5" l="1"/>
  <c r="B10" i="5"/>
  <c r="B18" i="5"/>
  <c r="B12" i="5"/>
  <c r="B19" i="5"/>
  <c r="B11" i="5"/>
  <c r="B17" i="5"/>
  <c r="B16" i="5"/>
  <c r="B8" i="5"/>
  <c r="B9" i="5"/>
  <c r="B15" i="5"/>
  <c r="B7" i="5"/>
  <c r="B14" i="5"/>
  <c r="B6" i="5"/>
  <c r="B13" i="5"/>
  <c r="B5" i="5"/>
  <c r="B4" i="5"/>
  <c r="C4" i="5"/>
  <c r="C19" i="5"/>
  <c r="C15" i="5"/>
  <c r="C17" i="5"/>
  <c r="C12" i="5"/>
  <c r="C11" i="5"/>
  <c r="C9" i="5"/>
  <c r="C7" i="5"/>
  <c r="C18" i="5"/>
  <c r="C10" i="5"/>
  <c r="C16" i="5"/>
  <c r="C8" i="5"/>
  <c r="C14" i="5"/>
  <c r="C6" i="5"/>
  <c r="C13" i="5"/>
  <c r="D6" i="2" a="1"/>
  <c r="D6" i="2" s="1"/>
  <c r="D18" i="2" a="1"/>
  <c r="D18" i="2" s="1"/>
  <c r="D10" i="2" a="1"/>
  <c r="D10" i="2" s="1"/>
  <c r="D14" i="2" a="1"/>
  <c r="D14" i="2" s="1"/>
  <c r="D19" i="2" a="1"/>
  <c r="D19" i="2" s="1"/>
  <c r="D11" i="2" a="1"/>
  <c r="D11" i="2" s="1"/>
  <c r="D15" i="2" a="1"/>
  <c r="D15" i="2" s="1"/>
  <c r="D7" i="2" a="1"/>
  <c r="D7" i="2" s="1"/>
  <c r="D9" i="2" a="1"/>
  <c r="D9" i="2" s="1"/>
  <c r="D12" i="2" a="1"/>
  <c r="D12" i="2" s="1"/>
  <c r="D8" i="2" a="1"/>
  <c r="D8" i="2" s="1"/>
  <c r="D16" i="2" a="1"/>
  <c r="D16" i="2" s="1"/>
  <c r="D5" i="2" a="1"/>
  <c r="D5" i="2" s="1"/>
  <c r="D13" i="2" a="1"/>
  <c r="D13" i="2" s="1"/>
  <c r="D17" i="2" a="1"/>
  <c r="D17" i="2" s="1"/>
  <c r="D4" i="2" a="1"/>
  <c r="D4" i="2" s="1"/>
  <c r="D4" i="4" a="1"/>
  <c r="D4" i="4" s="1"/>
  <c r="D12" i="4" a="1"/>
  <c r="D12" i="4" s="1"/>
  <c r="B16" i="4"/>
  <c r="D16" i="4" s="1" a="1"/>
  <c r="D16" i="4" s="1"/>
  <c r="B15" i="4"/>
  <c r="D15" i="4" s="1" a="1"/>
  <c r="D15" i="4" s="1"/>
  <c r="B19" i="4"/>
  <c r="D19" i="4" s="1" a="1"/>
  <c r="D19" i="4" s="1"/>
  <c r="B18" i="4"/>
  <c r="D18" i="4" s="1" a="1"/>
  <c r="D18" i="4" s="1"/>
  <c r="B17" i="4"/>
  <c r="D17" i="4" s="1" a="1"/>
  <c r="D17" i="4" s="1"/>
  <c r="B14" i="4"/>
  <c r="D14" i="4" s="1" a="1"/>
  <c r="D14" i="4" s="1"/>
  <c r="B8" i="4"/>
  <c r="D8" i="4" s="1" a="1"/>
  <c r="D8" i="4" s="1"/>
  <c r="B7" i="4"/>
  <c r="D7" i="4" s="1" a="1"/>
  <c r="D7" i="4" s="1"/>
  <c r="B11" i="4"/>
  <c r="D11" i="4" s="1" a="1"/>
  <c r="D11" i="4" s="1"/>
  <c r="B10" i="4"/>
  <c r="D10" i="4" s="1" a="1"/>
  <c r="D10" i="4" s="1"/>
  <c r="B9" i="4"/>
  <c r="D9" i="4" s="1" a="1"/>
  <c r="D9" i="4" s="1"/>
  <c r="B6" i="4"/>
  <c r="D6" i="4" s="1" a="1"/>
  <c r="D6" i="4" s="1"/>
  <c r="D5" i="5" l="1" a="1"/>
  <c r="D5" i="5" s="1"/>
  <c r="D10" i="5" a="1"/>
  <c r="D10" i="5" s="1"/>
  <c r="D6" i="5" a="1"/>
  <c r="D6" i="5" s="1"/>
  <c r="D17" i="5" a="1"/>
  <c r="D17" i="5" s="1"/>
  <c r="D19" i="5" a="1"/>
  <c r="D19" i="5" s="1"/>
  <c r="D9" i="5" a="1"/>
  <c r="D9" i="5" s="1"/>
  <c r="D4" i="5" a="1"/>
  <c r="D4" i="5" s="1"/>
  <c r="D15" i="5" a="1"/>
  <c r="D15" i="5" s="1"/>
  <c r="D18" i="5" a="1"/>
  <c r="D18" i="5" s="1"/>
  <c r="D7" i="5" a="1"/>
  <c r="D7" i="5" s="1"/>
  <c r="D13" i="5" a="1"/>
  <c r="D13" i="5" s="1"/>
  <c r="D16" i="5" a="1"/>
  <c r="D16" i="5" s="1"/>
  <c r="D11" i="5" a="1"/>
  <c r="D11" i="5" s="1"/>
  <c r="D12" i="5" a="1"/>
  <c r="D12" i="5" s="1"/>
  <c r="D14" i="5" a="1"/>
  <c r="D14" i="5" s="1"/>
  <c r="D8" i="5" a="1"/>
  <c r="D8" i="5" s="1"/>
  <c r="E4" i="4"/>
  <c r="E4" i="3"/>
  <c r="E4" i="2"/>
  <c r="E4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<sst xmlns="http://schemas.openxmlformats.org/spreadsheetml/2006/main" count="35" uniqueCount="15">
  <si>
    <t>Grid</t>
  </si>
  <si>
    <t>Simple Random Sample</t>
  </si>
  <si>
    <t>Sample</t>
  </si>
  <si>
    <t>Horizontal</t>
  </si>
  <si>
    <t>Vertical</t>
  </si>
  <si>
    <t>Color</t>
  </si>
  <si>
    <t>Proportion Green</t>
  </si>
  <si>
    <t>Stratified</t>
  </si>
  <si>
    <t>Stratum</t>
  </si>
  <si>
    <t>Cluster</t>
  </si>
  <si>
    <t>Random</t>
  </si>
  <si>
    <t>Sequencial</t>
  </si>
  <si>
    <t>Systematic</t>
  </si>
  <si>
    <t>Start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</si>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</sst>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theme="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48"/>
      <color theme="3"/>
      <name val="Aptos Display"/>
      <family val="2"/>
      <scheme val="major"/>
    </font>
    <font>
      <b/>
      <sz val="10"/>
      <color theme="1"/>
      <name val="Liberation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rgb="FFDDDDDD"/>
        <bgColor rgb="FFDDDDDD"/>
      </patternFill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5" borderId="0"/>
    <xf numFmtId="0" fontId="3" fillId="6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4" fillId="3" borderId="0" xfId="3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4" borderId="0" xfId="4"/>
    <xf numFmtId="0" fontId="3" fillId="4" borderId="0" xfId="4" applyAlignment="1">
      <alignment horizontal="center"/>
    </xf>
    <xf numFmtId="0" fontId="3" fillId="2" borderId="0" xfId="2" applyAlignment="1">
      <alignment horizontal="center"/>
    </xf>
    <xf numFmtId="0" fontId="3" fillId="6" borderId="0" xfId="6" applyAlignment="1">
      <alignment horizontal="center"/>
    </xf>
    <xf numFmtId="0" fontId="2" fillId="0" borderId="0" xfId="1" applyAlignment="1">
      <alignment horizontal="center"/>
    </xf>
    <xf numFmtId="0" fontId="5" fillId="0" borderId="0" xfId="1" applyFont="1" applyAlignment="1">
      <alignment horizontal="center" vertical="center"/>
    </xf>
  </cellXfs>
  <cellStyles count="7">
    <cellStyle name="40% - Accent5" xfId="3" builtinId="47"/>
    <cellStyle name="Accent 3" xfId="5" xr:uid="{30148D25-B1BD-416E-A5EA-40B1134281B5}"/>
    <cellStyle name="Accent2" xfId="2" builtinId="33"/>
    <cellStyle name="Accent4" xfId="6" builtinId="41"/>
    <cellStyle name="Accent6" xfId="4" builtinId="49"/>
    <cellStyle name="Normal" xfId="0" builtinId="0"/>
    <cellStyle name="Title" xfId="1" builtinId="15"/>
  </cellStyles>
  <dxfs count="2">
    <dxf>
      <font>
        <color theme="2"/>
      </font>
      <fill>
        <patternFill>
          <fgColor theme="2"/>
          <bgColor theme="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0C09-EB7F-4118-AAEA-B16CAF23B4B2}">
  <dimension ref="A1:I10"/>
  <sheetViews>
    <sheetView zoomScaleNormal="100" workbookViewId="0">
      <selection activeCell="B3" sqref="B3"/>
    </sheetView>
  </sheetViews>
  <sheetFormatPr defaultColWidth="9.140625" defaultRowHeight="15" x14ac:dyDescent="0.25"/>
  <cols>
    <col min="1" max="9" width="8.5703125" style="3" customWidth="1"/>
    <col min="10" max="16384" width="9.140625" style="3"/>
  </cols>
  <sheetData>
    <row r="1" spans="1:9" ht="4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45" customHeight="1" x14ac:dyDescent="0.7">
      <c r="A2" s="4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</row>
    <row r="3" spans="1:9" ht="45" customHeight="1" x14ac:dyDescent="0.7">
      <c r="A3" s="5">
        <v>1</v>
      </c>
      <c r="B3" s="6">
        <v>0</v>
      </c>
      <c r="C3" s="6">
        <v>0</v>
      </c>
      <c r="D3" s="6">
        <v>1</v>
      </c>
      <c r="E3" s="6">
        <v>0</v>
      </c>
      <c r="F3" s="6">
        <v>0</v>
      </c>
      <c r="G3" s="6">
        <v>1</v>
      </c>
      <c r="H3" s="6">
        <v>1</v>
      </c>
      <c r="I3" s="6">
        <v>1</v>
      </c>
    </row>
    <row r="4" spans="1:9" ht="45" customHeight="1" x14ac:dyDescent="0.7">
      <c r="A4" s="5">
        <v>2</v>
      </c>
      <c r="B4" s="6">
        <v>0</v>
      </c>
      <c r="C4" s="6">
        <v>0</v>
      </c>
      <c r="D4" s="6">
        <v>0</v>
      </c>
      <c r="E4" s="6">
        <v>0</v>
      </c>
      <c r="F4" s="6">
        <v>1</v>
      </c>
      <c r="G4" s="6">
        <v>1</v>
      </c>
      <c r="H4" s="6">
        <v>0</v>
      </c>
      <c r="I4" s="6">
        <v>0</v>
      </c>
    </row>
    <row r="5" spans="1:9" ht="45" customHeight="1" x14ac:dyDescent="0.7">
      <c r="A5" s="5">
        <v>3</v>
      </c>
      <c r="B5" s="6">
        <v>0</v>
      </c>
      <c r="C5" s="6">
        <v>0</v>
      </c>
      <c r="D5" s="6">
        <v>1</v>
      </c>
      <c r="E5" s="6">
        <v>0</v>
      </c>
      <c r="F5" s="6">
        <v>0</v>
      </c>
      <c r="G5" s="6">
        <v>0</v>
      </c>
      <c r="H5" s="6">
        <v>1</v>
      </c>
      <c r="I5" s="6">
        <v>1</v>
      </c>
    </row>
    <row r="6" spans="1:9" ht="45" customHeight="1" x14ac:dyDescent="0.7">
      <c r="A6" s="5">
        <v>4</v>
      </c>
      <c r="B6" s="6">
        <v>1</v>
      </c>
      <c r="C6" s="6">
        <v>0</v>
      </c>
      <c r="D6" s="6">
        <v>0</v>
      </c>
      <c r="E6" s="6">
        <v>1</v>
      </c>
      <c r="F6" s="6">
        <v>0</v>
      </c>
      <c r="G6" s="6">
        <v>1</v>
      </c>
      <c r="H6" s="6">
        <v>0</v>
      </c>
      <c r="I6" s="6">
        <v>0</v>
      </c>
    </row>
    <row r="7" spans="1:9" ht="45" customHeight="1" x14ac:dyDescent="0.7">
      <c r="A7" s="5">
        <v>5</v>
      </c>
      <c r="B7" s="6">
        <v>1</v>
      </c>
      <c r="C7" s="6">
        <v>0</v>
      </c>
      <c r="D7" s="6">
        <v>0</v>
      </c>
      <c r="E7" s="6">
        <v>1</v>
      </c>
      <c r="F7" s="6">
        <v>0</v>
      </c>
      <c r="G7" s="6">
        <v>1</v>
      </c>
      <c r="H7" s="6">
        <v>1</v>
      </c>
      <c r="I7" s="6">
        <v>1</v>
      </c>
    </row>
    <row r="8" spans="1:9" ht="45" customHeight="1" x14ac:dyDescent="0.7">
      <c r="A8" s="5">
        <v>6</v>
      </c>
      <c r="B8" s="6">
        <v>0</v>
      </c>
      <c r="C8" s="6">
        <v>0</v>
      </c>
      <c r="D8" s="6">
        <v>1</v>
      </c>
      <c r="E8" s="6">
        <v>0</v>
      </c>
      <c r="F8" s="6">
        <v>0</v>
      </c>
      <c r="G8" s="6">
        <v>0</v>
      </c>
      <c r="H8" s="6">
        <v>1</v>
      </c>
      <c r="I8" s="6">
        <v>1</v>
      </c>
    </row>
    <row r="9" spans="1:9" ht="45" customHeight="1" x14ac:dyDescent="0.7">
      <c r="A9" s="5">
        <v>7</v>
      </c>
      <c r="B9" s="6">
        <v>0</v>
      </c>
      <c r="C9" s="6">
        <v>1</v>
      </c>
      <c r="D9" s="6">
        <v>0</v>
      </c>
      <c r="E9" s="6">
        <v>1</v>
      </c>
      <c r="F9" s="6">
        <v>0</v>
      </c>
      <c r="G9" s="6">
        <v>0</v>
      </c>
      <c r="H9" s="6">
        <v>0</v>
      </c>
      <c r="I9" s="6">
        <v>1</v>
      </c>
    </row>
    <row r="10" spans="1:9" ht="45" customHeight="1" x14ac:dyDescent="0.7">
      <c r="A10" s="5">
        <v>8</v>
      </c>
      <c r="B10" s="6">
        <v>0</v>
      </c>
      <c r="C10" s="6">
        <v>1</v>
      </c>
      <c r="D10" s="6">
        <v>1</v>
      </c>
      <c r="E10" s="6">
        <v>0</v>
      </c>
      <c r="F10" s="6">
        <v>1</v>
      </c>
      <c r="G10" s="6">
        <v>0</v>
      </c>
      <c r="H10" s="6">
        <v>1</v>
      </c>
      <c r="I10" s="6">
        <v>1</v>
      </c>
    </row>
  </sheetData>
  <mergeCells count="1">
    <mergeCell ref="A1:I1"/>
  </mergeCells>
  <conditionalFormatting sqref="B3:I10">
    <cfRule type="cellIs" dxfId="1" priority="1" operator="equal">
      <formula>1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5574-ECC4-4927-BAEC-CABF85D36459}">
  <dimension ref="A1:F19"/>
  <sheetViews>
    <sheetView zoomScale="200" zoomScaleNormal="200" workbookViewId="0">
      <selection activeCell="F9" sqref="F9"/>
    </sheetView>
  </sheetViews>
  <sheetFormatPr defaultRowHeight="15" x14ac:dyDescent="0.25"/>
  <cols>
    <col min="1" max="1" width="7.28515625" bestFit="1" customWidth="1"/>
    <col min="2" max="2" width="9.85546875" bestFit="1" customWidth="1"/>
    <col min="3" max="3" width="8.28515625" bestFit="1" customWidth="1"/>
    <col min="4" max="4" width="6" bestFit="1" customWidth="1"/>
    <col min="5" max="5" width="15.7109375" bestFit="1" customWidth="1"/>
  </cols>
  <sheetData>
    <row r="1" spans="1:6" ht="24" x14ac:dyDescent="0.4">
      <c r="A1" s="11" t="s">
        <v>1</v>
      </c>
      <c r="B1" s="11"/>
      <c r="C1" s="11"/>
      <c r="D1" s="11"/>
      <c r="E1" s="11"/>
      <c r="F1" s="2"/>
    </row>
    <row r="2" spans="1:6" x14ac:dyDescent="0.25">
      <c r="B2" t="s">
        <v>10</v>
      </c>
      <c r="C2" t="s">
        <v>10</v>
      </c>
    </row>
    <row r="3" spans="1:6" x14ac:dyDescent="0.25">
      <c r="A3" s="7" t="s">
        <v>2</v>
      </c>
      <c r="B3" s="8" t="s">
        <v>3</v>
      </c>
      <c r="C3" s="8" t="s">
        <v>4</v>
      </c>
      <c r="D3" s="8" t="s">
        <v>5</v>
      </c>
      <c r="E3" s="9" t="s">
        <v>6</v>
      </c>
    </row>
    <row r="4" spans="1:6" x14ac:dyDescent="0.25">
      <c r="A4">
        <v>1</v>
      </c>
      <c r="B4" s="1">
        <f t="shared" ref="B4:C19" ca="1" si="0">RANDBETWEEN(1,8)</f>
        <v>1</v>
      </c>
      <c r="C4" s="1">
        <f t="shared" ca="1" si="0"/>
        <v>7</v>
      </c>
      <c r="D4" s="1" t="str" cm="1">
        <f t="array" aca="1" ref="D4" ca="1">IF(INDEX(Grid!$B$3:$I$10,C4,B4), "Green", "Frost")</f>
        <v>Frost</v>
      </c>
      <c r="E4" s="9">
        <f ca="1">COUNTIF(D4:D19, "Green")/COUNT(A4:A19)</f>
        <v>0.25</v>
      </c>
    </row>
    <row r="5" spans="1:6" x14ac:dyDescent="0.25">
      <c r="A5">
        <v>2</v>
      </c>
      <c r="B5" s="1">
        <f t="shared" ca="1" si="0"/>
        <v>6</v>
      </c>
      <c r="C5" s="1">
        <f t="shared" ca="1" si="0"/>
        <v>5</v>
      </c>
      <c r="D5" s="1" t="str" cm="1">
        <f t="array" aca="1" ref="D5" ca="1">IF(INDEX(Grid!$B$3:$I$10,C5,B5), "Green", "Frost")</f>
        <v>Green</v>
      </c>
    </row>
    <row r="6" spans="1:6" x14ac:dyDescent="0.25">
      <c r="A6">
        <v>3</v>
      </c>
      <c r="B6" s="1">
        <f t="shared" ca="1" si="0"/>
        <v>5</v>
      </c>
      <c r="C6" s="1">
        <f t="shared" ca="1" si="0"/>
        <v>7</v>
      </c>
      <c r="D6" s="1" t="str" cm="1">
        <f t="array" aca="1" ref="D6" ca="1">IF(INDEX(Grid!$B$3:$I$10,C6,B6), "Green", "Frost")</f>
        <v>Frost</v>
      </c>
    </row>
    <row r="7" spans="1:6" x14ac:dyDescent="0.25">
      <c r="A7">
        <v>4</v>
      </c>
      <c r="B7" s="1">
        <f t="shared" ca="1" si="0"/>
        <v>3</v>
      </c>
      <c r="C7" s="1">
        <f t="shared" ca="1" si="0"/>
        <v>7</v>
      </c>
      <c r="D7" s="1" t="str" cm="1">
        <f t="array" aca="1" ref="D7" ca="1">IF(INDEX(Grid!$B$3:$I$10,C7,B7), "Green", "Frost")</f>
        <v>Frost</v>
      </c>
    </row>
    <row r="8" spans="1:6" x14ac:dyDescent="0.25">
      <c r="A8">
        <v>5</v>
      </c>
      <c r="B8" s="1">
        <f t="shared" ca="1" si="0"/>
        <v>7</v>
      </c>
      <c r="C8" s="1">
        <f t="shared" ca="1" si="0"/>
        <v>7</v>
      </c>
      <c r="D8" s="1" t="str" cm="1">
        <f t="array" aca="1" ref="D8" ca="1">IF(INDEX(Grid!$B$3:$I$10,C8,B8), "Green", "Frost")</f>
        <v>Frost</v>
      </c>
    </row>
    <row r="9" spans="1:6" x14ac:dyDescent="0.25">
      <c r="A9">
        <v>6</v>
      </c>
      <c r="B9" s="1">
        <f t="shared" ca="1" si="0"/>
        <v>6</v>
      </c>
      <c r="C9" s="1">
        <f t="shared" ca="1" si="0"/>
        <v>8</v>
      </c>
      <c r="D9" s="1" t="str" cm="1">
        <f t="array" aca="1" ref="D9" ca="1">IF(INDEX(Grid!$B$3:$I$10,C9,B9), "Green", "Frost")</f>
        <v>Frost</v>
      </c>
    </row>
    <row r="10" spans="1:6" x14ac:dyDescent="0.25">
      <c r="A10">
        <v>7</v>
      </c>
      <c r="B10" s="1">
        <f t="shared" ca="1" si="0"/>
        <v>2</v>
      </c>
      <c r="C10" s="1">
        <f t="shared" ca="1" si="0"/>
        <v>4</v>
      </c>
      <c r="D10" s="1" t="str" cm="1">
        <f t="array" aca="1" ref="D10" ca="1">IF(INDEX(Grid!$B$3:$I$10,C10,B10), "Green", "Frost")</f>
        <v>Frost</v>
      </c>
    </row>
    <row r="11" spans="1:6" x14ac:dyDescent="0.25">
      <c r="A11">
        <v>8</v>
      </c>
      <c r="B11" s="1">
        <f t="shared" ca="1" si="0"/>
        <v>1</v>
      </c>
      <c r="C11" s="1">
        <f t="shared" ca="1" si="0"/>
        <v>2</v>
      </c>
      <c r="D11" s="1" t="str" cm="1">
        <f t="array" aca="1" ref="D11" ca="1">IF(INDEX(Grid!$B$3:$I$10,C11,B11), "Green", "Frost")</f>
        <v>Frost</v>
      </c>
    </row>
    <row r="12" spans="1:6" x14ac:dyDescent="0.25">
      <c r="A12">
        <v>9</v>
      </c>
      <c r="B12" s="1">
        <f t="shared" ca="1" si="0"/>
        <v>7</v>
      </c>
      <c r="C12" s="1">
        <f t="shared" ca="1" si="0"/>
        <v>4</v>
      </c>
      <c r="D12" s="1" t="str" cm="1">
        <f t="array" aca="1" ref="D12" ca="1">IF(INDEX(Grid!$B$3:$I$10,C12,B12), "Green", "Frost")</f>
        <v>Frost</v>
      </c>
    </row>
    <row r="13" spans="1:6" x14ac:dyDescent="0.25">
      <c r="A13">
        <v>10</v>
      </c>
      <c r="B13" s="1">
        <f t="shared" ca="1" si="0"/>
        <v>8</v>
      </c>
      <c r="C13" s="1">
        <f t="shared" ca="1" si="0"/>
        <v>8</v>
      </c>
      <c r="D13" s="1" t="str" cm="1">
        <f t="array" aca="1" ref="D13" ca="1">IF(INDEX(Grid!$B$3:$I$10,C13,B13), "Green", "Frost")</f>
        <v>Green</v>
      </c>
    </row>
    <row r="14" spans="1:6" x14ac:dyDescent="0.25">
      <c r="A14">
        <v>11</v>
      </c>
      <c r="B14" s="1">
        <f t="shared" ca="1" si="0"/>
        <v>2</v>
      </c>
      <c r="C14" s="1">
        <f t="shared" ca="1" si="0"/>
        <v>6</v>
      </c>
      <c r="D14" s="1" t="str" cm="1">
        <f t="array" aca="1" ref="D14" ca="1">IF(INDEX(Grid!$B$3:$I$10,C14,B14), "Green", "Frost")</f>
        <v>Frost</v>
      </c>
    </row>
    <row r="15" spans="1:6" x14ac:dyDescent="0.25">
      <c r="A15">
        <v>12</v>
      </c>
      <c r="B15" s="1">
        <f t="shared" ca="1" si="0"/>
        <v>7</v>
      </c>
      <c r="C15" s="1">
        <f t="shared" ca="1" si="0"/>
        <v>2</v>
      </c>
      <c r="D15" s="1" t="str" cm="1">
        <f t="array" aca="1" ref="D15" ca="1">IF(INDEX(Grid!$B$3:$I$10,C15,B15), "Green", "Frost")</f>
        <v>Frost</v>
      </c>
    </row>
    <row r="16" spans="1:6" x14ac:dyDescent="0.25">
      <c r="A16">
        <v>13</v>
      </c>
      <c r="B16" s="1">
        <f t="shared" ca="1" si="0"/>
        <v>7</v>
      </c>
      <c r="C16" s="1">
        <f t="shared" ca="1" si="0"/>
        <v>6</v>
      </c>
      <c r="D16" s="1" t="str" cm="1">
        <f t="array" aca="1" ref="D16" ca="1">IF(INDEX(Grid!$B$3:$I$10,C16,B16), "Green", "Frost")</f>
        <v>Green</v>
      </c>
    </row>
    <row r="17" spans="1:4" x14ac:dyDescent="0.25">
      <c r="A17">
        <v>14</v>
      </c>
      <c r="B17" s="1">
        <f t="shared" ca="1" si="0"/>
        <v>4</v>
      </c>
      <c r="C17" s="1">
        <f t="shared" ca="1" si="0"/>
        <v>2</v>
      </c>
      <c r="D17" s="1" t="str" cm="1">
        <f t="array" aca="1" ref="D17" ca="1">IF(INDEX(Grid!$B$3:$I$10,C17,B17), "Green", "Frost")</f>
        <v>Frost</v>
      </c>
    </row>
    <row r="18" spans="1:4" x14ac:dyDescent="0.25">
      <c r="A18">
        <v>15</v>
      </c>
      <c r="B18" s="1">
        <f t="shared" ca="1" si="0"/>
        <v>1</v>
      </c>
      <c r="C18" s="1">
        <f t="shared" ca="1" si="0"/>
        <v>3</v>
      </c>
      <c r="D18" s="1" t="str" cm="1">
        <f t="array" aca="1" ref="D18" ca="1">IF(INDEX(Grid!$B$3:$I$10,C18,B18), "Green", "Frost")</f>
        <v>Frost</v>
      </c>
    </row>
    <row r="19" spans="1:4" x14ac:dyDescent="0.25">
      <c r="A19">
        <v>16</v>
      </c>
      <c r="B19" s="1">
        <f t="shared" ca="1" si="0"/>
        <v>6</v>
      </c>
      <c r="C19" s="1">
        <f t="shared" ca="1" si="0"/>
        <v>4</v>
      </c>
      <c r="D19" s="1" t="str" cm="1">
        <f t="array" aca="1" ref="D19" ca="1">IF(INDEX(Grid!$B$3:$I$10,C19,B19), "Green", "Frost")</f>
        <v>Green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67B5-9317-4656-97F3-088225F06758}">
  <dimension ref="A1:F19"/>
  <sheetViews>
    <sheetView zoomScale="200" zoomScaleNormal="200" workbookViewId="0">
      <selection activeCell="L12" sqref="L12"/>
    </sheetView>
  </sheetViews>
  <sheetFormatPr defaultRowHeight="15" x14ac:dyDescent="0.25"/>
  <cols>
    <col min="1" max="1" width="7.28515625" bestFit="1" customWidth="1"/>
    <col min="2" max="2" width="10.42578125" bestFit="1" customWidth="1"/>
    <col min="3" max="3" width="8.28515625" bestFit="1" customWidth="1"/>
    <col min="4" max="4" width="6" bestFit="1" customWidth="1"/>
    <col min="5" max="5" width="15.7109375" bestFit="1" customWidth="1"/>
  </cols>
  <sheetData>
    <row r="1" spans="1:6" ht="24" x14ac:dyDescent="0.4">
      <c r="A1" s="11" t="s">
        <v>7</v>
      </c>
      <c r="B1" s="11"/>
      <c r="C1" s="11"/>
      <c r="D1" s="11"/>
      <c r="E1" s="11"/>
      <c r="F1" s="2"/>
    </row>
    <row r="2" spans="1:6" x14ac:dyDescent="0.25">
      <c r="B2" t="s">
        <v>11</v>
      </c>
      <c r="C2" t="s">
        <v>10</v>
      </c>
    </row>
    <row r="3" spans="1:6" x14ac:dyDescent="0.25">
      <c r="A3" s="7" t="s">
        <v>2</v>
      </c>
      <c r="B3" s="8" t="s">
        <v>8</v>
      </c>
      <c r="C3" s="8" t="s">
        <v>4</v>
      </c>
      <c r="D3" s="8" t="s">
        <v>5</v>
      </c>
      <c r="E3" s="9" t="s">
        <v>6</v>
      </c>
    </row>
    <row r="4" spans="1:6" x14ac:dyDescent="0.25">
      <c r="A4">
        <v>1</v>
      </c>
      <c r="B4" s="1">
        <v>1</v>
      </c>
      <c r="C4" s="1">
        <f t="shared" ref="C4:C19" ca="1" si="0">RANDBETWEEN(1,8)</f>
        <v>6</v>
      </c>
      <c r="D4" s="1" t="str" cm="1">
        <f t="array" aca="1" ref="D4" ca="1">IF(INDEX(Grid!$B$3:$I$10,C4,B4), "Green", "Frost")</f>
        <v>Frost</v>
      </c>
      <c r="E4" s="9">
        <f ca="1">COUNTIF(D4:D19, "Green")/COUNT(A4:A19)</f>
        <v>0.375</v>
      </c>
    </row>
    <row r="5" spans="1:6" x14ac:dyDescent="0.25">
      <c r="A5">
        <v>2</v>
      </c>
      <c r="B5" s="1">
        <v>1</v>
      </c>
      <c r="C5" s="1">
        <f t="shared" ca="1" si="0"/>
        <v>3</v>
      </c>
      <c r="D5" s="1" t="str" cm="1">
        <f t="array" aca="1" ref="D5" ca="1">IF(INDEX(Grid!$B$3:$I$10,C5,B5), "Green", "Frost")</f>
        <v>Frost</v>
      </c>
    </row>
    <row r="6" spans="1:6" x14ac:dyDescent="0.25">
      <c r="A6">
        <v>3</v>
      </c>
      <c r="B6" s="1">
        <v>2</v>
      </c>
      <c r="C6" s="1">
        <f t="shared" ca="1" si="0"/>
        <v>5</v>
      </c>
      <c r="D6" s="1" t="str" cm="1">
        <f t="array" aca="1" ref="D6" ca="1">IF(INDEX(Grid!$B$3:$I$10,C6,B6), "Green", "Frost")</f>
        <v>Frost</v>
      </c>
    </row>
    <row r="7" spans="1:6" x14ac:dyDescent="0.25">
      <c r="A7">
        <v>4</v>
      </c>
      <c r="B7" s="1">
        <v>2</v>
      </c>
      <c r="C7" s="1">
        <f t="shared" ca="1" si="0"/>
        <v>1</v>
      </c>
      <c r="D7" s="1" t="str" cm="1">
        <f t="array" aca="1" ref="D7" ca="1">IF(INDEX(Grid!$B$3:$I$10,C7,B7), "Green", "Frost")</f>
        <v>Frost</v>
      </c>
    </row>
    <row r="8" spans="1:6" x14ac:dyDescent="0.25">
      <c r="A8">
        <v>5</v>
      </c>
      <c r="B8" s="1">
        <v>3</v>
      </c>
      <c r="C8" s="1">
        <f t="shared" ca="1" si="0"/>
        <v>3</v>
      </c>
      <c r="D8" s="1" t="str" cm="1">
        <f t="array" aca="1" ref="D8" ca="1">IF(INDEX(Grid!$B$3:$I$10,C8,B8), "Green", "Frost")</f>
        <v>Green</v>
      </c>
    </row>
    <row r="9" spans="1:6" x14ac:dyDescent="0.25">
      <c r="A9">
        <v>6</v>
      </c>
      <c r="B9" s="1">
        <v>3</v>
      </c>
      <c r="C9" s="1">
        <f t="shared" ca="1" si="0"/>
        <v>6</v>
      </c>
      <c r="D9" s="1" t="str" cm="1">
        <f t="array" aca="1" ref="D9" ca="1">IF(INDEX(Grid!$B$3:$I$10,C9,B9), "Green", "Frost")</f>
        <v>Green</v>
      </c>
    </row>
    <row r="10" spans="1:6" x14ac:dyDescent="0.25">
      <c r="A10">
        <v>7</v>
      </c>
      <c r="B10" s="1">
        <v>4</v>
      </c>
      <c r="C10" s="1">
        <f t="shared" ca="1" si="0"/>
        <v>6</v>
      </c>
      <c r="D10" s="1" t="str" cm="1">
        <f t="array" aca="1" ref="D10" ca="1">IF(INDEX(Grid!$B$3:$I$10,C10,B10), "Green", "Frost")</f>
        <v>Frost</v>
      </c>
    </row>
    <row r="11" spans="1:6" x14ac:dyDescent="0.25">
      <c r="A11">
        <v>8</v>
      </c>
      <c r="B11" s="1">
        <v>4</v>
      </c>
      <c r="C11" s="1">
        <f t="shared" ca="1" si="0"/>
        <v>3</v>
      </c>
      <c r="D11" s="1" t="str" cm="1">
        <f t="array" aca="1" ref="D11" ca="1">IF(INDEX(Grid!$B$3:$I$10,C11,B11), "Green", "Frost")</f>
        <v>Frost</v>
      </c>
    </row>
    <row r="12" spans="1:6" x14ac:dyDescent="0.25">
      <c r="A12">
        <v>9</v>
      </c>
      <c r="B12" s="1">
        <v>5</v>
      </c>
      <c r="C12" s="1">
        <f t="shared" ca="1" si="0"/>
        <v>5</v>
      </c>
      <c r="D12" s="1" t="str" cm="1">
        <f t="array" aca="1" ref="D12" ca="1">IF(INDEX(Grid!$B$3:$I$10,C12,B12), "Green", "Frost")</f>
        <v>Frost</v>
      </c>
    </row>
    <row r="13" spans="1:6" x14ac:dyDescent="0.25">
      <c r="A13">
        <v>10</v>
      </c>
      <c r="B13" s="1">
        <v>5</v>
      </c>
      <c r="C13" s="1">
        <f t="shared" ca="1" si="0"/>
        <v>2</v>
      </c>
      <c r="D13" s="1" t="str" cm="1">
        <f t="array" aca="1" ref="D13" ca="1">IF(INDEX(Grid!$B$3:$I$10,C13,B13), "Green", "Frost")</f>
        <v>Green</v>
      </c>
    </row>
    <row r="14" spans="1:6" x14ac:dyDescent="0.25">
      <c r="A14">
        <v>11</v>
      </c>
      <c r="B14" s="1">
        <v>6</v>
      </c>
      <c r="C14" s="1">
        <f t="shared" ca="1" si="0"/>
        <v>1</v>
      </c>
      <c r="D14" s="1" t="str" cm="1">
        <f t="array" aca="1" ref="D14" ca="1">IF(INDEX(Grid!$B$3:$I$10,C14,B14), "Green", "Frost")</f>
        <v>Green</v>
      </c>
    </row>
    <row r="15" spans="1:6" x14ac:dyDescent="0.25">
      <c r="A15">
        <v>12</v>
      </c>
      <c r="B15" s="1">
        <v>6</v>
      </c>
      <c r="C15" s="1">
        <f t="shared" ca="1" si="0"/>
        <v>1</v>
      </c>
      <c r="D15" s="1" t="str" cm="1">
        <f t="array" aca="1" ref="D15" ca="1">IF(INDEX(Grid!$B$3:$I$10,C15,B15), "Green", "Frost")</f>
        <v>Green</v>
      </c>
    </row>
    <row r="16" spans="1:6" x14ac:dyDescent="0.25">
      <c r="A16">
        <v>13</v>
      </c>
      <c r="B16" s="1">
        <v>7</v>
      </c>
      <c r="C16" s="1">
        <f t="shared" ca="1" si="0"/>
        <v>4</v>
      </c>
      <c r="D16" s="1" t="str" cm="1">
        <f t="array" aca="1" ref="D16" ca="1">IF(INDEX(Grid!$B$3:$I$10,C16,B16), "Green", "Frost")</f>
        <v>Frost</v>
      </c>
    </row>
    <row r="17" spans="1:4" x14ac:dyDescent="0.25">
      <c r="A17">
        <v>14</v>
      </c>
      <c r="B17" s="1">
        <v>7</v>
      </c>
      <c r="C17" s="1">
        <f t="shared" ca="1" si="0"/>
        <v>7</v>
      </c>
      <c r="D17" s="1" t="str" cm="1">
        <f t="array" aca="1" ref="D17" ca="1">IF(INDEX(Grid!$B$3:$I$10,C17,B17), "Green", "Frost")</f>
        <v>Frost</v>
      </c>
    </row>
    <row r="18" spans="1:4" x14ac:dyDescent="0.25">
      <c r="A18">
        <v>15</v>
      </c>
      <c r="B18" s="1">
        <v>8</v>
      </c>
      <c r="C18" s="1">
        <f t="shared" ca="1" si="0"/>
        <v>4</v>
      </c>
      <c r="D18" s="1" t="str" cm="1">
        <f t="array" aca="1" ref="D18" ca="1">IF(INDEX(Grid!$B$3:$I$10,C18,B18), "Green", "Frost")</f>
        <v>Frost</v>
      </c>
    </row>
    <row r="19" spans="1:4" x14ac:dyDescent="0.25">
      <c r="A19">
        <v>16</v>
      </c>
      <c r="B19" s="1">
        <v>8</v>
      </c>
      <c r="C19" s="1">
        <f t="shared" ca="1" si="0"/>
        <v>5</v>
      </c>
      <c r="D19" s="1" t="str" cm="1">
        <f t="array" aca="1" ref="D19" ca="1">IF(INDEX(Grid!$B$3:$I$10,C19,B19), "Green", "Frost")</f>
        <v>Green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4098-F71E-43C0-8ED7-3165FD105A7B}">
  <dimension ref="A1:F19"/>
  <sheetViews>
    <sheetView zoomScale="200" zoomScaleNormal="200" workbookViewId="0">
      <selection sqref="A1:E1"/>
    </sheetView>
  </sheetViews>
  <sheetFormatPr defaultRowHeight="15" x14ac:dyDescent="0.25"/>
  <cols>
    <col min="1" max="1" width="7.5703125" bestFit="1" customWidth="1"/>
    <col min="2" max="2" width="8.28515625" bestFit="1" customWidth="1"/>
    <col min="3" max="3" width="10.42578125" bestFit="1" customWidth="1"/>
    <col min="4" max="4" width="6.140625" bestFit="1" customWidth="1"/>
    <col min="5" max="5" width="16.140625" bestFit="1" customWidth="1"/>
  </cols>
  <sheetData>
    <row r="1" spans="1:6" ht="24" x14ac:dyDescent="0.4">
      <c r="A1" s="11" t="s">
        <v>9</v>
      </c>
      <c r="B1" s="11"/>
      <c r="C1" s="11"/>
      <c r="D1" s="11"/>
      <c r="E1" s="11"/>
      <c r="F1" s="2"/>
    </row>
    <row r="2" spans="1:6" x14ac:dyDescent="0.25">
      <c r="B2" t="s">
        <v>10</v>
      </c>
      <c r="C2" t="s">
        <v>11</v>
      </c>
    </row>
    <row r="3" spans="1:6" x14ac:dyDescent="0.25">
      <c r="A3" s="7" t="s">
        <v>2</v>
      </c>
      <c r="B3" s="8" t="s">
        <v>9</v>
      </c>
      <c r="C3" s="8" t="s">
        <v>4</v>
      </c>
      <c r="D3" s="8" t="s">
        <v>5</v>
      </c>
      <c r="E3" s="9" t="s">
        <v>6</v>
      </c>
    </row>
    <row r="4" spans="1:6" x14ac:dyDescent="0.25">
      <c r="A4">
        <v>1</v>
      </c>
      <c r="B4" s="1">
        <f ca="1">RANDBETWEEN(1,8)</f>
        <v>7</v>
      </c>
      <c r="C4" s="1">
        <v>1</v>
      </c>
      <c r="D4" s="1" t="str" cm="1">
        <f t="array" aca="1" ref="D4" ca="1">IF(INDEX(Grid!$B$3:$I$10,C4,B4), "Green", "Frost")</f>
        <v>Green</v>
      </c>
      <c r="E4" s="9">
        <f ca="1">COUNTIF(D4:D19, "Green")/COUNT(A4:A19)</f>
        <v>0.625</v>
      </c>
    </row>
    <row r="5" spans="1:6" x14ac:dyDescent="0.25">
      <c r="A5">
        <v>2</v>
      </c>
      <c r="B5" s="1">
        <f ca="1">$B$4</f>
        <v>7</v>
      </c>
      <c r="C5" s="1">
        <v>2</v>
      </c>
      <c r="D5" s="1" t="str" cm="1">
        <f t="array" aca="1" ref="D5" ca="1">IF(INDEX(Grid!$B$3:$I$10,C5,B5), "Green", "Frost")</f>
        <v>Frost</v>
      </c>
    </row>
    <row r="6" spans="1:6" x14ac:dyDescent="0.25">
      <c r="A6">
        <v>3</v>
      </c>
      <c r="B6" s="1">
        <f t="shared" ref="B6:B11" ca="1" si="0">$B$4</f>
        <v>7</v>
      </c>
      <c r="C6" s="1">
        <v>3</v>
      </c>
      <c r="D6" s="1" t="str" cm="1">
        <f t="array" aca="1" ref="D6" ca="1">IF(INDEX(Grid!$B$3:$I$10,C6,B6), "Green", "Frost")</f>
        <v>Green</v>
      </c>
    </row>
    <row r="7" spans="1:6" x14ac:dyDescent="0.25">
      <c r="A7">
        <v>4</v>
      </c>
      <c r="B7" s="1">
        <f t="shared" ca="1" si="0"/>
        <v>7</v>
      </c>
      <c r="C7" s="1">
        <v>4</v>
      </c>
      <c r="D7" s="1" t="str" cm="1">
        <f t="array" aca="1" ref="D7" ca="1">IF(INDEX(Grid!$B$3:$I$10,C7,B7), "Green", "Frost")</f>
        <v>Frost</v>
      </c>
    </row>
    <row r="8" spans="1:6" x14ac:dyDescent="0.25">
      <c r="A8">
        <v>5</v>
      </c>
      <c r="B8" s="1">
        <f t="shared" ca="1" si="0"/>
        <v>7</v>
      </c>
      <c r="C8" s="1">
        <v>5</v>
      </c>
      <c r="D8" s="1" t="str" cm="1">
        <f t="array" aca="1" ref="D8" ca="1">IF(INDEX(Grid!$B$3:$I$10,C8,B8), "Green", "Frost")</f>
        <v>Green</v>
      </c>
    </row>
    <row r="9" spans="1:6" x14ac:dyDescent="0.25">
      <c r="A9">
        <v>6</v>
      </c>
      <c r="B9" s="1">
        <f t="shared" ca="1" si="0"/>
        <v>7</v>
      </c>
      <c r="C9" s="1">
        <v>6</v>
      </c>
      <c r="D9" s="1" t="str" cm="1">
        <f t="array" aca="1" ref="D9" ca="1">IF(INDEX(Grid!$B$3:$I$10,C9,B9), "Green", "Frost")</f>
        <v>Green</v>
      </c>
    </row>
    <row r="10" spans="1:6" x14ac:dyDescent="0.25">
      <c r="A10">
        <v>7</v>
      </c>
      <c r="B10" s="1">
        <f t="shared" ca="1" si="0"/>
        <v>7</v>
      </c>
      <c r="C10" s="1">
        <v>7</v>
      </c>
      <c r="D10" s="1" t="str" cm="1">
        <f t="array" aca="1" ref="D10" ca="1">IF(INDEX(Grid!$B$3:$I$10,C10,B10), "Green", "Frost")</f>
        <v>Frost</v>
      </c>
    </row>
    <row r="11" spans="1:6" x14ac:dyDescent="0.25">
      <c r="A11">
        <v>8</v>
      </c>
      <c r="B11" s="1">
        <f t="shared" ca="1" si="0"/>
        <v>7</v>
      </c>
      <c r="C11" s="1">
        <v>8</v>
      </c>
      <c r="D11" s="1" t="str" cm="1">
        <f t="array" aca="1" ref="D11" ca="1">IF(INDEX(Grid!$B$3:$I$10,C11,B11), "Green", "Frost")</f>
        <v>Green</v>
      </c>
    </row>
    <row r="12" spans="1:6" x14ac:dyDescent="0.25">
      <c r="A12">
        <v>9</v>
      </c>
      <c r="B12" s="1">
        <f ca="1">RANDBETWEEN(1,8)</f>
        <v>7</v>
      </c>
      <c r="C12" s="1">
        <v>1</v>
      </c>
      <c r="D12" s="1" t="str" cm="1">
        <f t="array" aca="1" ref="D12" ca="1">IF(INDEX(Grid!$B$3:$I$10,C12,B12), "Green", "Frost")</f>
        <v>Green</v>
      </c>
    </row>
    <row r="13" spans="1:6" x14ac:dyDescent="0.25">
      <c r="A13">
        <v>10</v>
      </c>
      <c r="B13" s="1">
        <f ca="1">$B$12</f>
        <v>7</v>
      </c>
      <c r="C13" s="1">
        <v>2</v>
      </c>
      <c r="D13" s="1" t="str" cm="1">
        <f t="array" aca="1" ref="D13" ca="1">IF(INDEX(Grid!$B$3:$I$10,C13,B13), "Green", "Frost")</f>
        <v>Frost</v>
      </c>
    </row>
    <row r="14" spans="1:6" x14ac:dyDescent="0.25">
      <c r="A14">
        <v>11</v>
      </c>
      <c r="B14" s="1">
        <f t="shared" ref="B14:B19" ca="1" si="1">$B$12</f>
        <v>7</v>
      </c>
      <c r="C14" s="1">
        <v>3</v>
      </c>
      <c r="D14" s="1" t="str" cm="1">
        <f t="array" aca="1" ref="D14" ca="1">IF(INDEX(Grid!$B$3:$I$10,C14,B14), "Green", "Frost")</f>
        <v>Green</v>
      </c>
    </row>
    <row r="15" spans="1:6" x14ac:dyDescent="0.25">
      <c r="A15">
        <v>12</v>
      </c>
      <c r="B15" s="1">
        <f t="shared" ca="1" si="1"/>
        <v>7</v>
      </c>
      <c r="C15" s="1">
        <v>4</v>
      </c>
      <c r="D15" s="1" t="str" cm="1">
        <f t="array" aca="1" ref="D15" ca="1">IF(INDEX(Grid!$B$3:$I$10,C15,B15), "Green", "Frost")</f>
        <v>Frost</v>
      </c>
    </row>
    <row r="16" spans="1:6" x14ac:dyDescent="0.25">
      <c r="A16">
        <v>13</v>
      </c>
      <c r="B16" s="1">
        <f t="shared" ca="1" si="1"/>
        <v>7</v>
      </c>
      <c r="C16" s="1">
        <v>5</v>
      </c>
      <c r="D16" s="1" t="str" cm="1">
        <f t="array" aca="1" ref="D16" ca="1">IF(INDEX(Grid!$B$3:$I$10,C16,B16), "Green", "Frost")</f>
        <v>Green</v>
      </c>
    </row>
    <row r="17" spans="1:4" x14ac:dyDescent="0.25">
      <c r="A17">
        <v>14</v>
      </c>
      <c r="B17" s="1">
        <f t="shared" ca="1" si="1"/>
        <v>7</v>
      </c>
      <c r="C17" s="1">
        <v>6</v>
      </c>
      <c r="D17" s="1" t="str" cm="1">
        <f t="array" aca="1" ref="D17" ca="1">IF(INDEX(Grid!$B$3:$I$10,C17,B17), "Green", "Frost")</f>
        <v>Green</v>
      </c>
    </row>
    <row r="18" spans="1:4" x14ac:dyDescent="0.25">
      <c r="A18">
        <v>15</v>
      </c>
      <c r="B18" s="1">
        <f t="shared" ca="1" si="1"/>
        <v>7</v>
      </c>
      <c r="C18" s="1">
        <v>7</v>
      </c>
      <c r="D18" s="1" t="str" cm="1">
        <f t="array" aca="1" ref="D18" ca="1">IF(INDEX(Grid!$B$3:$I$10,C18,B18), "Green", "Frost")</f>
        <v>Frost</v>
      </c>
    </row>
    <row r="19" spans="1:4" x14ac:dyDescent="0.25">
      <c r="A19">
        <v>16</v>
      </c>
      <c r="B19" s="1">
        <f t="shared" ca="1" si="1"/>
        <v>7</v>
      </c>
      <c r="C19" s="1">
        <v>8</v>
      </c>
      <c r="D19" s="1" t="str" cm="1">
        <f t="array" aca="1" ref="D19" ca="1">IF(INDEX(Grid!$B$3:$I$10,C19,B19), "Green", "Frost")</f>
        <v>Green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3B22-4306-4A10-96AA-8FCC15366D01}">
  <dimension ref="A1:G26"/>
  <sheetViews>
    <sheetView tabSelected="1" zoomScale="190" zoomScaleNormal="190" workbookViewId="0">
      <selection activeCell="G2" sqref="G2"/>
    </sheetView>
  </sheetViews>
  <sheetFormatPr defaultRowHeight="15" x14ac:dyDescent="0.25"/>
  <cols>
    <col min="1" max="1" width="7.5703125" bestFit="1" customWidth="1"/>
    <col min="2" max="2" width="8.28515625" bestFit="1" customWidth="1"/>
    <col min="3" max="3" width="10.42578125" bestFit="1" customWidth="1"/>
    <col min="4" max="4" width="6.140625" bestFit="1" customWidth="1"/>
    <col min="5" max="5" width="16.140625" bestFit="1" customWidth="1"/>
  </cols>
  <sheetData>
    <row r="1" spans="1:7" ht="24" x14ac:dyDescent="0.4">
      <c r="A1" s="11" t="s">
        <v>12</v>
      </c>
      <c r="B1" s="11"/>
      <c r="C1" s="11"/>
      <c r="D1" s="11"/>
      <c r="E1" s="11"/>
      <c r="F1" s="2"/>
    </row>
    <row r="2" spans="1:7" x14ac:dyDescent="0.25">
      <c r="F2" t="s">
        <v>10</v>
      </c>
      <c r="G2" t="s">
        <v>10</v>
      </c>
    </row>
    <row r="3" spans="1:7" x14ac:dyDescent="0.25">
      <c r="A3" s="7" t="s">
        <v>2</v>
      </c>
      <c r="B3" s="8" t="s">
        <v>9</v>
      </c>
      <c r="C3" s="8" t="s">
        <v>4</v>
      </c>
      <c r="D3" s="8" t="s">
        <v>5</v>
      </c>
      <c r="E3" s="9" t="s">
        <v>6</v>
      </c>
      <c r="F3" s="10" t="s">
        <v>13</v>
      </c>
      <c r="G3" s="10" t="s">
        <v>14</v>
      </c>
    </row>
    <row r="4" spans="1:7" x14ac:dyDescent="0.25">
      <c r="A4">
        <v>1</v>
      </c>
      <c r="B4" s="1">
        <f ca="1">MOD(QUOTIENT(($F$4-1)+$G$4*($A4-1),8),8)+1</f>
        <v>1</v>
      </c>
      <c r="C4" s="1">
        <f ca="1">MOD(($F$4-1)+$G$4*($A4-1),8)+1</f>
        <v>2</v>
      </c>
      <c r="D4" s="1" t="str" cm="1">
        <f t="array" aca="1" ref="D4" ca="1">IF(INDEX(Grid!$B$3:$I$10,C4,B4), "Green", "Frost")</f>
        <v>Frost</v>
      </c>
      <c r="E4" s="9">
        <f ca="1">COUNTIF(D4:D19, "Green")/COUNT(A4:A19)</f>
        <v>0.3125</v>
      </c>
      <c r="F4">
        <f ca="1">RANDBETWEEN(1, 64)</f>
        <v>2</v>
      </c>
      <c r="G4">
        <f ca="1">RANDBETWEEN(3,5)</f>
        <v>5</v>
      </c>
    </row>
    <row r="5" spans="1:7" x14ac:dyDescent="0.25">
      <c r="A5">
        <v>2</v>
      </c>
      <c r="B5" s="1">
        <f t="shared" ref="B5:B19" ca="1" si="0">MOD(QUOTIENT(($F$4-1)+$G$4*($A5-1),8),8)+1</f>
        <v>1</v>
      </c>
      <c r="C5" s="1">
        <f t="shared" ref="C5:C19" ca="1" si="1">MOD(($F$4-1)+$G$4*($A5-1),8)+1</f>
        <v>7</v>
      </c>
      <c r="D5" s="1" t="str" cm="1">
        <f t="array" aca="1" ref="D5" ca="1">IF(INDEX(Grid!$B$3:$I$10,C5,B5), "Green", "Frost")</f>
        <v>Frost</v>
      </c>
    </row>
    <row r="6" spans="1:7" x14ac:dyDescent="0.25">
      <c r="A6">
        <v>3</v>
      </c>
      <c r="B6" s="1">
        <f t="shared" ca="1" si="0"/>
        <v>2</v>
      </c>
      <c r="C6" s="1">
        <f t="shared" ca="1" si="1"/>
        <v>4</v>
      </c>
      <c r="D6" s="1" t="str" cm="1">
        <f t="array" aca="1" ref="D6" ca="1">IF(INDEX(Grid!$B$3:$I$10,C6,B6), "Green", "Frost")</f>
        <v>Frost</v>
      </c>
    </row>
    <row r="7" spans="1:7" x14ac:dyDescent="0.25">
      <c r="A7">
        <v>4</v>
      </c>
      <c r="B7" s="1">
        <f t="shared" ca="1" si="0"/>
        <v>3</v>
      </c>
      <c r="C7" s="1">
        <f t="shared" ca="1" si="1"/>
        <v>1</v>
      </c>
      <c r="D7" s="1" t="str" cm="1">
        <f t="array" aca="1" ref="D7" ca="1">IF(INDEX(Grid!$B$3:$I$10,C7,B7), "Green", "Frost")</f>
        <v>Green</v>
      </c>
    </row>
    <row r="8" spans="1:7" x14ac:dyDescent="0.25">
      <c r="A8">
        <v>5</v>
      </c>
      <c r="B8" s="1">
        <f t="shared" ca="1" si="0"/>
        <v>3</v>
      </c>
      <c r="C8" s="1">
        <f t="shared" ca="1" si="1"/>
        <v>6</v>
      </c>
      <c r="D8" s="1" t="str" cm="1">
        <f t="array" aca="1" ref="D8" ca="1">IF(INDEX(Grid!$B$3:$I$10,C8,B8), "Green", "Frost")</f>
        <v>Green</v>
      </c>
    </row>
    <row r="9" spans="1:7" x14ac:dyDescent="0.25">
      <c r="A9">
        <v>6</v>
      </c>
      <c r="B9" s="1">
        <f t="shared" ca="1" si="0"/>
        <v>4</v>
      </c>
      <c r="C9" s="1">
        <f t="shared" ca="1" si="1"/>
        <v>3</v>
      </c>
      <c r="D9" s="1" t="str" cm="1">
        <f t="array" aca="1" ref="D9" ca="1">IF(INDEX(Grid!$B$3:$I$10,C9,B9), "Green", "Frost")</f>
        <v>Frost</v>
      </c>
    </row>
    <row r="10" spans="1:7" x14ac:dyDescent="0.25">
      <c r="A10">
        <v>7</v>
      </c>
      <c r="B10" s="1">
        <f t="shared" ca="1" si="0"/>
        <v>4</v>
      </c>
      <c r="C10" s="1">
        <f t="shared" ca="1" si="1"/>
        <v>8</v>
      </c>
      <c r="D10" s="1" t="str" cm="1">
        <f t="array" aca="1" ref="D10" ca="1">IF(INDEX(Grid!$B$3:$I$10,C10,B10), "Green", "Frost")</f>
        <v>Frost</v>
      </c>
    </row>
    <row r="11" spans="1:7" x14ac:dyDescent="0.25">
      <c r="A11">
        <v>8</v>
      </c>
      <c r="B11" s="1">
        <f t="shared" ca="1" si="0"/>
        <v>5</v>
      </c>
      <c r="C11" s="1">
        <f t="shared" ca="1" si="1"/>
        <v>5</v>
      </c>
      <c r="D11" s="1" t="str" cm="1">
        <f t="array" aca="1" ref="D11" ca="1">IF(INDEX(Grid!$B$3:$I$10,C11,B11), "Green", "Frost")</f>
        <v>Frost</v>
      </c>
    </row>
    <row r="12" spans="1:7" x14ac:dyDescent="0.25">
      <c r="A12">
        <v>9</v>
      </c>
      <c r="B12" s="1">
        <f t="shared" ca="1" si="0"/>
        <v>6</v>
      </c>
      <c r="C12" s="1">
        <f t="shared" ca="1" si="1"/>
        <v>2</v>
      </c>
      <c r="D12" s="1" t="str" cm="1">
        <f t="array" aca="1" ref="D12" ca="1">IF(INDEX(Grid!$B$3:$I$10,C12,B12), "Green", "Frost")</f>
        <v>Green</v>
      </c>
    </row>
    <row r="13" spans="1:7" x14ac:dyDescent="0.25">
      <c r="A13">
        <v>10</v>
      </c>
      <c r="B13" s="1">
        <f t="shared" ca="1" si="0"/>
        <v>6</v>
      </c>
      <c r="C13" s="1">
        <f t="shared" ca="1" si="1"/>
        <v>7</v>
      </c>
      <c r="D13" s="1" t="str" cm="1">
        <f t="array" aca="1" ref="D13" ca="1">IF(INDEX(Grid!$B$3:$I$10,C13,B13), "Green", "Frost")</f>
        <v>Frost</v>
      </c>
    </row>
    <row r="14" spans="1:7" x14ac:dyDescent="0.25">
      <c r="A14">
        <v>11</v>
      </c>
      <c r="B14" s="1">
        <f t="shared" ca="1" si="0"/>
        <v>7</v>
      </c>
      <c r="C14" s="1">
        <f t="shared" ca="1" si="1"/>
        <v>4</v>
      </c>
      <c r="D14" s="1" t="str" cm="1">
        <f t="array" aca="1" ref="D14" ca="1">IF(INDEX(Grid!$B$3:$I$10,C14,B14), "Green", "Frost")</f>
        <v>Frost</v>
      </c>
    </row>
    <row r="15" spans="1:7" x14ac:dyDescent="0.25">
      <c r="A15">
        <v>12</v>
      </c>
      <c r="B15" s="1">
        <f t="shared" ca="1" si="0"/>
        <v>8</v>
      </c>
      <c r="C15" s="1">
        <f t="shared" ca="1" si="1"/>
        <v>1</v>
      </c>
      <c r="D15" s="1" t="str" cm="1">
        <f t="array" aca="1" ref="D15" ca="1">IF(INDEX(Grid!$B$3:$I$10,C15,B15), "Green", "Frost")</f>
        <v>Green</v>
      </c>
    </row>
    <row r="16" spans="1:7" x14ac:dyDescent="0.25">
      <c r="A16">
        <v>13</v>
      </c>
      <c r="B16" s="1">
        <f t="shared" ca="1" si="0"/>
        <v>8</v>
      </c>
      <c r="C16" s="1">
        <f t="shared" ca="1" si="1"/>
        <v>6</v>
      </c>
      <c r="D16" s="1" t="str" cm="1">
        <f t="array" aca="1" ref="D16" ca="1">IF(INDEX(Grid!$B$3:$I$10,C16,B16), "Green", "Frost")</f>
        <v>Green</v>
      </c>
    </row>
    <row r="17" spans="1:4" x14ac:dyDescent="0.25">
      <c r="A17">
        <v>14</v>
      </c>
      <c r="B17" s="1">
        <f t="shared" ca="1" si="0"/>
        <v>1</v>
      </c>
      <c r="C17" s="1">
        <f t="shared" ca="1" si="1"/>
        <v>3</v>
      </c>
      <c r="D17" s="1" t="str" cm="1">
        <f t="array" aca="1" ref="D17" ca="1">IF(INDEX(Grid!$B$3:$I$10,C17,B17), "Green", "Frost")</f>
        <v>Frost</v>
      </c>
    </row>
    <row r="18" spans="1:4" x14ac:dyDescent="0.25">
      <c r="A18">
        <v>15</v>
      </c>
      <c r="B18" s="1">
        <f t="shared" ca="1" si="0"/>
        <v>1</v>
      </c>
      <c r="C18" s="1">
        <f t="shared" ca="1" si="1"/>
        <v>8</v>
      </c>
      <c r="D18" s="1" t="str" cm="1">
        <f t="array" aca="1" ref="D18" ca="1">IF(INDEX(Grid!$B$3:$I$10,C18,B18), "Green", "Frost")</f>
        <v>Frost</v>
      </c>
    </row>
    <row r="19" spans="1:4" x14ac:dyDescent="0.25">
      <c r="A19">
        <v>16</v>
      </c>
      <c r="B19" s="1">
        <f t="shared" ca="1" si="0"/>
        <v>2</v>
      </c>
      <c r="C19" s="1">
        <f t="shared" ca="1" si="1"/>
        <v>5</v>
      </c>
      <c r="D19" s="1" t="str" cm="1">
        <f t="array" aca="1" ref="D19" ca="1">IF(INDEX(Grid!$B$3:$I$10,C19,B19), "Green", "Frost")</f>
        <v>Frost</v>
      </c>
    </row>
    <row r="20" spans="1:4" x14ac:dyDescent="0.25">
      <c r="B20" s="1"/>
      <c r="C20" s="1"/>
    </row>
    <row r="21" spans="1:4" x14ac:dyDescent="0.25">
      <c r="B21" s="1"/>
      <c r="C21" s="1"/>
    </row>
    <row r="22" spans="1:4" x14ac:dyDescent="0.25">
      <c r="B22" s="1"/>
      <c r="C22" s="1"/>
    </row>
    <row r="23" spans="1:4" x14ac:dyDescent="0.25">
      <c r="B23" s="1"/>
      <c r="C23" s="1"/>
    </row>
    <row r="24" spans="1:4" x14ac:dyDescent="0.25">
      <c r="B24" s="1"/>
      <c r="C24" s="1"/>
    </row>
    <row r="25" spans="1:4" x14ac:dyDescent="0.25">
      <c r="B25" s="1"/>
      <c r="C25" s="1"/>
    </row>
    <row r="26" spans="1:4" x14ac:dyDescent="0.25">
      <c r="B26" s="1"/>
      <c r="C26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Grid</vt:lpstr>
      <vt:lpstr>Simple Random</vt:lpstr>
      <vt:lpstr>Stratified</vt:lpstr>
      <vt:lpstr>Cluster</vt:lpstr>
      <vt:lpstr>Systematic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Sears, Christopher M (Maysville)</dc:creator>
  <cp:lastModifiedBy>Sears, Christopher M (Maysville)</cp:lastModifiedBy>
  <dcterms:created xsi:type="dcterms:W3CDTF">2026-08-17T18:33:06Z</dcterms:created>
  <dcterms:modified xsi:type="dcterms:W3CDTF">2026-08-18T18:49:51Z</dcterms:modified>
</cp:coreProperties>
</file>